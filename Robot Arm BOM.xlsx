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dilanpatel/"/>
    </mc:Choice>
  </mc:AlternateContent>
  <xr:revisionPtr revIDLastSave="0" documentId="8_{98CEF243-89E9-B148-8E08-2AB07230E0D4}" xr6:coauthVersionLast="47" xr6:coauthVersionMax="47" xr10:uidLastSave="{00000000-0000-0000-0000-000000000000}"/>
  <bookViews>
    <workbookView xWindow="0" yWindow="740" windowWidth="30240" windowHeight="1890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1" l="1"/>
  <c r="E13" i="1"/>
  <c r="E11" i="1"/>
  <c r="E10" i="1"/>
  <c r="E9" i="1"/>
  <c r="E6" i="1"/>
  <c r="E5" i="1"/>
  <c r="E1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0" authorId="0" shapeId="0" xr:uid="{00000000-0006-0000-0000-000001000000}">
      <text>
        <r>
          <rPr>
            <sz val="10"/>
            <color rgb="FF000000"/>
            <rFont val="Arial"/>
            <family val="2"/>
          </rPr>
          <t>Fill in per-gram print cost x part weight (CAEN pricing).</t>
        </r>
      </text>
    </comment>
    <comment ref="D11" authorId="0" shapeId="0" xr:uid="{00000000-0006-0000-0000-000002000000}">
      <text>
        <r>
          <rPr>
            <sz val="10"/>
            <rFont val="Arial"/>
            <family val="2"/>
          </rPr>
          <t>Fill in per-gram print cost x part weight (CAEN pricing).</t>
        </r>
      </text>
    </comment>
    <comment ref="D13" authorId="0" shapeId="0" xr:uid="{00000000-0006-0000-0000-000003000000}">
      <text>
        <r>
          <rPr>
            <sz val="10"/>
            <color rgb="FF000000"/>
            <rFont val="Arial"/>
            <family val="2"/>
          </rPr>
          <t>Fill in per-gram print cost x part weight (CAEN pricing).</t>
        </r>
      </text>
    </comment>
  </commentList>
</comments>
</file>

<file path=xl/sharedStrings.xml><?xml version="1.0" encoding="utf-8"?>
<sst xmlns="http://schemas.openxmlformats.org/spreadsheetml/2006/main" count="41" uniqueCount="34">
  <si>
    <t>3-DOF Desktop Robotic Arm — Bill of Materials</t>
  </si>
  <si>
    <t>Yellow cells = fill in with actual values (e.g. print costs, real vendor prices).</t>
  </si>
  <si>
    <t>Item</t>
  </si>
  <si>
    <t>Category</t>
  </si>
  <si>
    <t>Qty</t>
  </si>
  <si>
    <t>Unit Cost ($)</t>
  </si>
  <si>
    <t>Total Cost ($)</t>
  </si>
  <si>
    <t>Notes / Specs</t>
  </si>
  <si>
    <t>ELEGOO UNO R3 (CH340 clone)</t>
  </si>
  <si>
    <t>Electronics</t>
  </si>
  <si>
    <t>Arduino Uno-compatible board, CH340 USB-serial chip; runs arm_controller.ino</t>
  </si>
  <si>
    <t>PCA9685 16-Channel PWM Driver</t>
  </si>
  <si>
    <t>I2C address 0x40; drives servos on channels 0-3 (ch3 reserved for future SG90 claw)</t>
  </si>
  <si>
    <t>MG995 Servo</t>
  </si>
  <si>
    <t>Base rotation, shoulder, elbow (channels 0/1/2); ~13 kg-cm torque, 5-6V max</t>
  </si>
  <si>
    <t>5V DC Power Supply</t>
  </si>
  <si>
    <t>5V, 4A+ recommended for 3x MG995 headroom; DO NOT use 24V source — servos/PCA9685 rated 5-6V max</t>
  </si>
  <si>
    <t>Dupont Jumper Wire Kit + Power Wiring</t>
  </si>
  <si>
    <t>M-F/M-M/F-F jumpers for I2C + signal lines; shared ground runs through PCA9685 GND</t>
  </si>
  <si>
    <t>Base</t>
  </si>
  <si>
    <t>3D Printed Structure</t>
  </si>
  <si>
    <t>Upper Arm Link (First Arm)</t>
  </si>
  <si>
    <t>10 cm length; horn pocket +0.25mm offset, M3 heat-set inserts; single continuous shoulder mount body</t>
  </si>
  <si>
    <t>Forearm Link (Second Arm)</t>
  </si>
  <si>
    <t>12 cm length (22 cm total reach); elbow mount single continuous body, flipped horn orientation</t>
  </si>
  <si>
    <t>TOTAL</t>
  </si>
  <si>
    <t>Assumptions:</t>
  </si>
  <si>
    <t>- Electronics prices are current typical online-marketplace estimates (July 2026), not confirmed vendor quotes.</t>
  </si>
  <si>
    <t>- Claw (SG90, PCA9685 channel 3) is a deferred v2 item and is not included in this BOM.</t>
  </si>
  <si>
    <t>- 3D-printed part costs are left blank (yellow) pending actual filament weight x CAEN per-gram rate.</t>
  </si>
  <si>
    <t>- Power supply sized for 3x MG995 stall-current headroom; confirm against final duty cycle before purchase.</t>
  </si>
  <si>
    <t>Holds first servo</t>
  </si>
  <si>
    <t>180 degree rotated on the base</t>
  </si>
  <si>
    <t>Revolution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</si>
</sst>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&quot;($&quot;#,##0.00\);\-"/>
  </numFmts>
  <fonts count="12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7F7F7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9"/>
      <name val="Arial"/>
      <charset val="1"/>
    </font>
    <font>
      <b/>
      <sz val="11"/>
      <name val="Arial"/>
      <charset val="1"/>
    </font>
    <font>
      <b/>
      <sz val="9"/>
      <name val="Arial"/>
      <charset val="1"/>
    </font>
    <font>
      <sz val="10"/>
      <name val="Arial"/>
      <family val="2"/>
    </font>
    <font>
      <sz val="10"/>
      <color rgb="FF000000"/>
      <name val="Arial"/>
      <family val="2"/>
    </font>
    <font>
      <i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7" fillId="4" borderId="1" xfId="0" applyFont="1" applyFill="1" applyBorder="1" applyAlignment="1">
      <alignment horizontal="right"/>
    </xf>
    <xf numFmtId="0" fontId="2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5" fillId="0" borderId="1" xfId="0" applyNumberFormat="1" applyFont="1" applyBorder="1"/>
    <xf numFmtId="164" fontId="4" fillId="0" borderId="1" xfId="0" applyNumberFormat="1" applyFont="1" applyBorder="1"/>
    <xf numFmtId="0" fontId="6" fillId="0" borderId="1" xfId="0" applyFont="1" applyBorder="1" applyAlignment="1">
      <alignment vertical="top" wrapText="1"/>
    </xf>
    <xf numFmtId="164" fontId="4" fillId="3" borderId="1" xfId="0" applyNumberFormat="1" applyFont="1" applyFill="1" applyBorder="1"/>
    <xf numFmtId="164" fontId="7" fillId="4" borderId="1" xfId="0" applyNumberFormat="1" applyFont="1" applyFill="1" applyBorder="1"/>
    <xf numFmtId="0" fontId="8" fillId="0" borderId="0" xfId="0" applyFont="1"/>
    <xf numFmtId="0" fontId="11" fillId="0" borderId="1" xfId="0" applyFont="1" applyBorder="1" applyAlignment="1">
      <alignment vertical="top" wrapText="1"/>
    </xf>
    <xf numFmtId="0" fontId="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Normal="100" workbookViewId="0">
      <pane ySplit="4" topLeftCell="A5" activePane="bottomLeft" state="frozen"/>
      <selection pane="bottomLeft" activeCell="C12" sqref="C12"/>
    </sheetView>
  </sheetViews>
  <sheetFormatPr baseColWidth="10" defaultColWidth="8.6640625" defaultRowHeight="15" x14ac:dyDescent="0.2"/>
  <cols>
    <col min="1" max="1" width="30" customWidth="1"/>
    <col min="2" max="2" width="20" customWidth="1"/>
    <col min="3" max="3" width="6" customWidth="1"/>
    <col min="4" max="5" width="14" customWidth="1"/>
    <col min="6" max="6" width="55" customWidth="1"/>
  </cols>
  <sheetData>
    <row r="1" spans="1:6" ht="18" x14ac:dyDescent="0.2">
      <c r="A1" s="3" t="s">
        <v>0</v>
      </c>
      <c r="B1" s="3"/>
      <c r="C1" s="3"/>
      <c r="D1" s="3"/>
      <c r="E1" s="3"/>
      <c r="F1" s="3"/>
    </row>
    <row r="2" spans="1:6" x14ac:dyDescent="0.2">
      <c r="A2" s="2" t="s">
        <v>1</v>
      </c>
      <c r="B2" s="2"/>
      <c r="C2" s="2"/>
      <c r="D2" s="2"/>
      <c r="E2" s="2"/>
      <c r="F2" s="2"/>
    </row>
    <row r="4" spans="1:6" x14ac:dyDescent="0.2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ht="26" x14ac:dyDescent="0.2">
      <c r="A5" s="5" t="s">
        <v>8</v>
      </c>
      <c r="B5" s="5" t="s">
        <v>9</v>
      </c>
      <c r="C5" s="6">
        <v>1</v>
      </c>
      <c r="D5" s="7">
        <v>13.29</v>
      </c>
      <c r="E5" s="8">
        <f t="shared" ref="E5:E13" si="0">C5*D5</f>
        <v>13.29</v>
      </c>
      <c r="F5" s="9" t="s">
        <v>10</v>
      </c>
    </row>
    <row r="6" spans="1:6" ht="26" x14ac:dyDescent="0.2">
      <c r="A6" s="5" t="s">
        <v>11</v>
      </c>
      <c r="B6" s="5" t="s">
        <v>9</v>
      </c>
      <c r="C6" s="6">
        <v>1</v>
      </c>
      <c r="D6" s="7">
        <v>7</v>
      </c>
      <c r="E6" s="8">
        <f t="shared" si="0"/>
        <v>7</v>
      </c>
      <c r="F6" s="9" t="s">
        <v>12</v>
      </c>
    </row>
    <row r="7" spans="1:6" ht="26" x14ac:dyDescent="0.2">
      <c r="A7" s="5" t="s">
        <v>13</v>
      </c>
      <c r="B7" s="5" t="s">
        <v>9</v>
      </c>
      <c r="C7" s="6">
        <v>3</v>
      </c>
      <c r="D7" s="7">
        <v>8</v>
      </c>
      <c r="E7" s="8">
        <v>14</v>
      </c>
      <c r="F7" s="9" t="s">
        <v>14</v>
      </c>
    </row>
    <row r="8" spans="1:6" ht="26" x14ac:dyDescent="0.2">
      <c r="A8" s="5" t="s">
        <v>15</v>
      </c>
      <c r="B8" s="5" t="s">
        <v>9</v>
      </c>
      <c r="C8" s="6">
        <v>1</v>
      </c>
      <c r="D8" s="7">
        <v>11</v>
      </c>
      <c r="E8" s="8">
        <v>5</v>
      </c>
      <c r="F8" s="9" t="s">
        <v>16</v>
      </c>
    </row>
    <row r="9" spans="1:6" ht="26" x14ac:dyDescent="0.2">
      <c r="A9" s="5" t="s">
        <v>17</v>
      </c>
      <c r="B9" s="5" t="s">
        <v>9</v>
      </c>
      <c r="C9" s="6">
        <v>1</v>
      </c>
      <c r="D9" s="7">
        <v>7</v>
      </c>
      <c r="E9" s="8">
        <f t="shared" si="0"/>
        <v>7</v>
      </c>
      <c r="F9" s="9" t="s">
        <v>18</v>
      </c>
    </row>
    <row r="10" spans="1:6" x14ac:dyDescent="0.2">
      <c r="A10" s="5" t="s">
        <v>19</v>
      </c>
      <c r="B10" s="5" t="s">
        <v>20</v>
      </c>
      <c r="C10" s="6">
        <v>1</v>
      </c>
      <c r="D10" s="10"/>
      <c r="E10" s="8">
        <f t="shared" si="0"/>
        <v>0</v>
      </c>
      <c r="F10" s="13" t="s">
        <v>31</v>
      </c>
    </row>
    <row r="11" spans="1:6" ht="26" x14ac:dyDescent="0.2">
      <c r="A11" s="5" t="s">
        <v>21</v>
      </c>
      <c r="B11" s="5" t="s">
        <v>20</v>
      </c>
      <c r="C11" s="6">
        <v>1</v>
      </c>
      <c r="D11" s="10"/>
      <c r="E11" s="8">
        <f t="shared" si="0"/>
        <v>0</v>
      </c>
      <c r="F11" s="9" t="s">
        <v>22</v>
      </c>
    </row>
    <row r="12" spans="1:6" x14ac:dyDescent="0.2">
      <c r="A12" s="14" t="s">
        <v>33</v>
      </c>
      <c r="B12" s="5" t="s">
        <v>20</v>
      </c>
      <c r="C12" s="6">
        <v>1</v>
      </c>
      <c r="D12" s="10"/>
      <c r="E12" s="8">
        <f t="shared" si="0"/>
        <v>0</v>
      </c>
      <c r="F12" s="13" t="s">
        <v>32</v>
      </c>
    </row>
    <row r="13" spans="1:6" ht="26" x14ac:dyDescent="0.2">
      <c r="A13" s="5" t="s">
        <v>23</v>
      </c>
      <c r="B13" s="5" t="s">
        <v>20</v>
      </c>
      <c r="C13" s="6">
        <v>1</v>
      </c>
      <c r="D13" s="10"/>
      <c r="E13" s="8">
        <f t="shared" si="0"/>
        <v>0</v>
      </c>
      <c r="F13" s="9" t="s">
        <v>24</v>
      </c>
    </row>
    <row r="14" spans="1:6" x14ac:dyDescent="0.2">
      <c r="A14" s="1" t="s">
        <v>25</v>
      </c>
      <c r="B14" s="1"/>
      <c r="C14" s="1"/>
      <c r="D14" s="1"/>
      <c r="E14" s="11">
        <f>SUM(E5:E13)</f>
        <v>46.29</v>
      </c>
    </row>
    <row r="16" spans="1:6" x14ac:dyDescent="0.2">
      <c r="A16" s="12" t="s">
        <v>26</v>
      </c>
    </row>
    <row r="17" spans="1:6" x14ac:dyDescent="0.2">
      <c r="A17" s="2" t="s">
        <v>27</v>
      </c>
      <c r="B17" s="2"/>
      <c r="C17" s="2"/>
      <c r="D17" s="2"/>
      <c r="E17" s="2"/>
      <c r="F17" s="2"/>
    </row>
    <row r="18" spans="1:6" x14ac:dyDescent="0.2">
      <c r="A18" s="2" t="s">
        <v>28</v>
      </c>
      <c r="B18" s="2"/>
      <c r="C18" s="2"/>
      <c r="D18" s="2"/>
      <c r="E18" s="2"/>
      <c r="F18" s="2"/>
    </row>
    <row r="19" spans="1:6" x14ac:dyDescent="0.2">
      <c r="A19" s="2" t="s">
        <v>29</v>
      </c>
      <c r="B19" s="2"/>
      <c r="C19" s="2"/>
      <c r="D19" s="2"/>
      <c r="E19" s="2"/>
      <c r="F19" s="2"/>
    </row>
    <row r="20" spans="1:6" x14ac:dyDescent="0.2">
      <c r="A20" s="2" t="s">
        <v>30</v>
      </c>
      <c r="B20" s="2"/>
      <c r="C20" s="2"/>
      <c r="D20" s="2"/>
      <c r="E20" s="2"/>
      <c r="F20" s="2"/>
    </row>
  </sheetData>
  <mergeCells count="7">
    <mergeCell ref="A19:F19"/>
    <mergeCell ref="A20:F20"/>
    <mergeCell ref="A1:F1"/>
    <mergeCell ref="A2:F2"/>
    <mergeCell ref="A14:D14"/>
    <mergeCell ref="A17:F17"/>
    <mergeCell ref="A18:F18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Patel, Dilan</cp:lastModifiedBy>
  <cp:revision>0</cp:revision>
  <dcterms:created xsi:type="dcterms:W3CDTF">2026-07-11T16:50:41Z</dcterms:created>
  <dcterms:modified xsi:type="dcterms:W3CDTF">2026-07-21T19:42:52Z</dcterms:modified>
  <dc:language>en-US</dc:language>
</cp:coreProperties>
</file>